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Entradas" sheetId="1" state="visible" r:id="rId1"/>
    <sheet name="M1_Chancado" sheetId="2" state="visible" r:id="rId2"/>
    <sheet name="M2_Aglomeracion" sheetId="3" state="visible" r:id="rId3"/>
    <sheet name="M3_Lixiviacion" sheetId="4" state="visible" r:id="rId4"/>
    <sheet name="M4_SX" sheetId="5" state="visible" r:id="rId5"/>
    <sheet name="M5_EW" sheetId="6" state="visible" r:id="rId6"/>
    <sheet name="M6_Pulpes" sheetId="7" state="visible" r:id="rId7"/>
    <sheet name="M7_Balances" sheetId="8" state="visible" r:id="rId8"/>
    <sheet name="M8_Finanz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B6FF00"/>
      <sz val="11"/>
    </font>
  </fonts>
  <fills count="3">
    <fill>
      <patternFill/>
    </fill>
    <fill>
      <patternFill patternType="gray125"/>
    </fill>
    <fill>
      <patternFill patternType="solid">
        <fgColor rgb="00161B22"/>
        <bgColor rgb="00161B22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1" customWidth="1" min="3" max="3"/>
  </cols>
  <sheetData>
    <row r="1" ht="25" customHeight="1">
      <c r="A1" s="1" t="inlineStr">
        <is>
          <t>Parámetro Global Maestro</t>
        </is>
      </c>
      <c r="B1" s="1" t="inlineStr">
        <is>
          <t>Valor / Numérico</t>
        </is>
      </c>
      <c r="C1" s="1" t="inlineStr">
        <is>
          <t>Referencia en Modelo</t>
        </is>
      </c>
    </row>
    <row r="2">
      <c r="A2" s="2" t="inlineStr">
        <is>
          <t>Fecha del Reporte</t>
        </is>
      </c>
      <c r="B2" s="3" t="inlineStr">
        <is>
          <t>2026-10-15</t>
        </is>
      </c>
      <c r="C2" s="2" t="inlineStr">
        <is>
          <t>Metadato</t>
        </is>
      </c>
    </row>
    <row r="3">
      <c r="A3" s="2" t="inlineStr">
        <is>
          <t>Turno Operativo</t>
        </is>
      </c>
      <c r="B3" s="3" t="inlineStr">
        <is>
          <t>Turno A (Mañana)</t>
        </is>
      </c>
      <c r="C3" s="2" t="inlineStr">
        <is>
          <t>Metadato</t>
        </is>
      </c>
    </row>
    <row r="4">
      <c r="A4" s="2" t="inlineStr">
        <is>
          <t>Responsable Técnico</t>
        </is>
      </c>
      <c r="B4" s="3" t="inlineStr">
        <is>
          <t>Edson Moyano (Jefe de Turno)</t>
        </is>
      </c>
      <c r="C4" s="2" t="inlineStr">
        <is>
          <t>Metadato</t>
        </is>
      </c>
    </row>
    <row r="5">
      <c r="A5" s="2" t="inlineStr">
        <is>
          <t>Alimentación Planta (TPH)</t>
        </is>
      </c>
      <c r="B5" s="3" t="n">
        <v>1500</v>
      </c>
      <c r="C5" s="2" t="inlineStr">
        <is>
          <t>Celda B5 (Base másica)</t>
        </is>
      </c>
    </row>
    <row r="6">
      <c r="A6" s="2" t="inlineStr">
        <is>
          <t>Ley de Cabeza CuT (%)</t>
        </is>
      </c>
      <c r="B6" s="3" t="n">
        <v>0.92</v>
      </c>
      <c r="C6" s="2" t="inlineStr">
        <is>
          <t>Celda B6 (Base metalúrgica)</t>
        </is>
      </c>
    </row>
    <row r="7">
      <c r="A7" s="2" t="inlineStr">
        <is>
          <t>Precio del Cobre (USD/lb)</t>
        </is>
      </c>
      <c r="B7" s="3" t="n">
        <v>4.25</v>
      </c>
      <c r="C7" s="2" t="inlineStr">
        <is>
          <t>Celda B7 (Base económica)</t>
        </is>
      </c>
    </row>
    <row r="8">
      <c r="A8" s="2" t="inlineStr">
        <is>
          <t>Costo Directo C1 (USD/lb)</t>
        </is>
      </c>
      <c r="B8" s="3" t="n">
        <v>1.75</v>
      </c>
      <c r="C8" s="2" t="inlineStr">
        <is>
          <t>Celda B8 (Base financiera)</t>
        </is>
      </c>
    </row>
    <row r="9">
      <c r="A9" s="2" t="inlineStr">
        <is>
          <t>Disponibilidad Operacional (%)</t>
        </is>
      </c>
      <c r="B9" s="3" t="n">
        <v>92.5</v>
      </c>
      <c r="C9" s="2" t="inlineStr">
        <is>
          <t>Celda B9 (Base tiempos)</t>
        </is>
      </c>
    </row>
    <row r="10">
      <c r="A10" s="2" t="inlineStr">
        <is>
          <t>Recuperación Objetivo (%)</t>
        </is>
      </c>
      <c r="B10" s="3" t="n">
        <v>84.5</v>
      </c>
      <c r="C10" s="2" t="inlineStr">
        <is>
          <t>Celda B10 (Base metalurgia)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33" customWidth="1" min="3" max="3"/>
  </cols>
  <sheetData>
    <row r="1" ht="25" customHeight="1">
      <c r="A1" s="1" t="inlineStr">
        <is>
          <t>Variable Operacional</t>
        </is>
      </c>
      <c r="B1" s="1" t="inlineStr">
        <is>
          <t>Valor / Resultado</t>
        </is>
      </c>
      <c r="C1" s="1" t="inlineStr">
        <is>
          <t>Fórmula o Criterio Técnico</t>
        </is>
      </c>
    </row>
    <row r="2">
      <c r="A2" s="2" t="inlineStr">
        <is>
          <t>Flujo Alimentación Fresca (TPH)</t>
        </is>
      </c>
      <c r="B2" s="3">
        <f>'00_Entradas'!B5</f>
        <v/>
      </c>
      <c r="C2" s="2" t="inlineStr">
        <is>
          <t>Vinculado a '00_Entradas'!B5</t>
        </is>
      </c>
    </row>
    <row r="3">
      <c r="A3" s="2" t="inlineStr">
        <is>
          <t>Abertura de Malla Primaria (mm)</t>
        </is>
      </c>
      <c r="B3" s="3" t="n">
        <v>15</v>
      </c>
      <c r="C3" s="2" t="inlineStr">
        <is>
          <t>Set point operacional</t>
        </is>
      </c>
    </row>
    <row r="4">
      <c r="A4" s="2" t="inlineStr">
        <is>
          <t>Abertura de Malla Secundaria (mm)</t>
        </is>
      </c>
      <c r="B4" s="3" t="n">
        <v>12.5</v>
      </c>
      <c r="C4" s="2" t="inlineStr">
        <is>
          <t>Set point harnero vibratorio</t>
        </is>
      </c>
    </row>
    <row r="5">
      <c r="A5" s="2" t="inlineStr">
        <is>
          <t>Eficiencia de Clasificación (%)</t>
        </is>
      </c>
      <c r="B5" s="3" t="n">
        <v>78.7</v>
      </c>
      <c r="C5" s="2" t="inlineStr">
        <is>
          <t>Evaluación granulométrica</t>
        </is>
      </c>
    </row>
    <row r="6">
      <c r="A6" s="2" t="inlineStr">
        <is>
          <t>Fracción Finos en Alimentación (%)</t>
        </is>
      </c>
      <c r="B6" s="3" t="n">
        <v>55</v>
      </c>
      <c r="C6" s="2" t="inlineStr">
        <is>
          <t>Análisis tamiz</t>
        </is>
      </c>
    </row>
    <row r="7">
      <c r="A7" s="2" t="inlineStr">
        <is>
          <t>Carga Circulante Potencial (TPH)</t>
        </is>
      </c>
      <c r="B7" s="3">
        <f>B2*0.35</f>
        <v/>
      </c>
      <c r="C7" s="2" t="inlineStr">
        <is>
          <t>Fórmula: =Alimentación * 0.35</t>
        </is>
      </c>
    </row>
    <row r="8">
      <c r="A8" s="2" t="inlineStr">
        <is>
          <t>Potencia Instalada Chancadores (kW)</t>
        </is>
      </c>
      <c r="B8" s="3" t="n">
        <v>450</v>
      </c>
      <c r="C8" s="2" t="inlineStr">
        <is>
          <t>Motores principales</t>
        </is>
      </c>
    </row>
    <row r="9">
      <c r="A9" s="2" t="inlineStr">
        <is>
          <t>Índice de Trabajo de Bond (Wi, kWh/t)</t>
        </is>
      </c>
      <c r="B9" s="3" t="n">
        <v>12.8</v>
      </c>
      <c r="C9" s="2" t="inlineStr">
        <is>
          <t>Dureza del mineral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47" customWidth="1" min="3" max="3"/>
  </cols>
  <sheetData>
    <row r="1" ht="25" customHeight="1">
      <c r="A1" s="1" t="inlineStr">
        <is>
          <t>Variable Operacional</t>
        </is>
      </c>
      <c r="B1" s="1" t="inlineStr">
        <is>
          <t>Valor / Resultado</t>
        </is>
      </c>
      <c r="C1" s="1" t="inlineStr">
        <is>
          <t>Fórmula o Criterio Técnico</t>
        </is>
      </c>
    </row>
    <row r="2">
      <c r="A2" s="2" t="inlineStr">
        <is>
          <t>Mineral Seco Tratado (TPH)</t>
        </is>
      </c>
      <c r="B2" s="3">
        <f>'00_Entradas'!B5</f>
        <v/>
      </c>
      <c r="C2" s="2" t="inlineStr">
        <is>
          <t>Vinculado a '00_Entradas'!B5</t>
        </is>
      </c>
    </row>
    <row r="3">
      <c r="A3" s="2" t="inlineStr">
        <is>
          <t>Humedad Inicial del Mineral (%)</t>
        </is>
      </c>
      <c r="B3" s="3" t="n">
        <v>3.2</v>
      </c>
      <c r="C3" s="2" t="inlineStr">
        <is>
          <t>Medición en terreno</t>
        </is>
      </c>
    </row>
    <row r="4">
      <c r="A4" s="2" t="inlineStr">
        <is>
          <t>Humedad Objetivo en Tambor (%)</t>
        </is>
      </c>
      <c r="B4" s="3" t="n">
        <v>8.5</v>
      </c>
      <c r="C4" s="2" t="inlineStr">
        <is>
          <t>Set point de humectación</t>
        </is>
      </c>
    </row>
    <row r="5">
      <c r="A5" s="2" t="inlineStr">
        <is>
          <t>Dosificación Ácido Concentrado (kg/t)</t>
        </is>
      </c>
      <c r="B5" s="3" t="n">
        <v>6.5</v>
      </c>
      <c r="C5" s="2" t="inlineStr">
        <is>
          <t>Control de flujo de ácido</t>
        </is>
      </c>
    </row>
    <row r="6">
      <c r="A6" s="2" t="inlineStr">
        <is>
          <t>Pureza del Ácido de Aporte (%)</t>
        </is>
      </c>
      <c r="B6" s="3" t="n">
        <v>93</v>
      </c>
      <c r="C6" s="2" t="inlineStr">
        <is>
          <t>Especificación comercial</t>
        </is>
      </c>
    </row>
    <row r="7">
      <c r="A7" s="2" t="inlineStr">
        <is>
          <t>Velocidad de Giro del Tambor (RPM)</t>
        </is>
      </c>
      <c r="B7" s="3" t="n">
        <v>9.5</v>
      </c>
      <c r="C7" s="2" t="inlineStr">
        <is>
          <t>Accionamiento tracción</t>
        </is>
      </c>
    </row>
    <row r="8">
      <c r="A8" s="2" t="inlineStr">
        <is>
          <t>Caudal de Solución en Spray (L/min)</t>
        </is>
      </c>
      <c r="B8" s="3" t="n">
        <v>1499.7</v>
      </c>
      <c r="C8" s="2" t="inlineStr">
        <is>
          <t>Inyección en boquillas</t>
        </is>
      </c>
    </row>
    <row r="9">
      <c r="A9" s="2" t="inlineStr">
        <is>
          <t>Índice de Estabilidad de Grumos (%)</t>
        </is>
      </c>
      <c r="B9" s="3">
        <f>100-ABS(B4-8.2)*6.5</f>
        <v/>
      </c>
      <c r="C9" s="2" t="inlineStr">
        <is>
          <t>Fórmula: =100 - ABS(HumedadObj - 8.2) * 6.5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48" customWidth="1" min="3" max="3"/>
  </cols>
  <sheetData>
    <row r="1" ht="25" customHeight="1">
      <c r="A1" s="1" t="inlineStr">
        <is>
          <t>Variable Operacional</t>
        </is>
      </c>
      <c r="B1" s="1" t="inlineStr">
        <is>
          <t>Valor / Resultado</t>
        </is>
      </c>
      <c r="C1" s="1" t="inlineStr">
        <is>
          <t>Fórmula o Criterio Técnico</t>
        </is>
      </c>
    </row>
    <row r="2">
      <c r="A2" s="2" t="inlineStr">
        <is>
          <t>Tonelaje Pila en Operación (ton)</t>
        </is>
      </c>
      <c r="B2" s="3" t="n">
        <v>250000</v>
      </c>
      <c r="C2" s="2" t="inlineStr">
        <is>
          <t>Inventario activo de mineral</t>
        </is>
      </c>
    </row>
    <row r="3">
      <c r="A3" s="2" t="inlineStr">
        <is>
          <t>Tasa Específica de Riego (L/h/m²)</t>
        </is>
      </c>
      <c r="B3" s="3" t="n">
        <v>8.5</v>
      </c>
      <c r="C3" s="2" t="inlineStr">
        <is>
          <t>Control de goteros en pila</t>
        </is>
      </c>
    </row>
    <row r="4">
      <c r="A4" s="2" t="inlineStr">
        <is>
          <t>Ley de Cabeza Mineral (%)</t>
        </is>
      </c>
      <c r="B4" s="3">
        <f>'00_Entradas'!B6</f>
        <v/>
      </c>
      <c r="C4" s="2" t="inlineStr">
        <is>
          <t>Vinculado a '00_Entradas'!B6</t>
        </is>
      </c>
    </row>
    <row r="5">
      <c r="A5" s="2" t="inlineStr">
        <is>
          <t>Recuperación Metalúrgica Acumulada (%)</t>
        </is>
      </c>
      <c r="B5" s="3">
        <f>'00_Entradas'!B10</f>
        <v/>
      </c>
      <c r="C5" s="2" t="inlineStr">
        <is>
          <t>Vinculado a '00_Entradas'!B10</t>
        </is>
      </c>
    </row>
    <row r="6">
      <c r="A6" s="2" t="inlineStr">
        <is>
          <t>Duración del Ciclo (días)</t>
        </is>
      </c>
      <c r="B6" s="3" t="n">
        <v>60</v>
      </c>
      <c r="C6" s="2" t="inlineStr">
        <is>
          <t>Planificación operacional</t>
        </is>
      </c>
    </row>
    <row r="7">
      <c r="A7" s="2" t="inlineStr">
        <is>
          <t>Acidez Libre en Raffinate (g/L)</t>
        </is>
      </c>
      <c r="B7" s="3" t="n">
        <v>14.5</v>
      </c>
      <c r="C7" s="2" t="inlineStr">
        <is>
          <t>Control químico solución</t>
        </is>
      </c>
    </row>
    <row r="8">
      <c r="A8" s="2" t="inlineStr">
        <is>
          <t>Caudal Total de Riego (m³/h)</t>
        </is>
      </c>
      <c r="B8" s="3" t="n">
        <v>96.2</v>
      </c>
      <c r="C8" s="2" t="inlineStr">
        <is>
          <t>Inyección en pilas</t>
        </is>
      </c>
    </row>
    <row r="9">
      <c r="A9" s="2" t="inlineStr">
        <is>
          <t>Cobre Fino Recuperable (ton)</t>
        </is>
      </c>
      <c r="B9" s="3">
        <f>B2*(B4/100)*(B5/100)</f>
        <v/>
      </c>
      <c r="C9" s="2" t="inlineStr">
        <is>
          <t>Fórmula: =Tonelaje * (Ley/100) * (Recup/100)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40" customWidth="1" min="3" max="3"/>
  </cols>
  <sheetData>
    <row r="1" ht="25" customHeight="1">
      <c r="A1" s="1" t="inlineStr">
        <is>
          <t>Variable Operacional</t>
        </is>
      </c>
      <c r="B1" s="1" t="inlineStr">
        <is>
          <t>Valor / Resultado</t>
        </is>
      </c>
      <c r="C1" s="1" t="inlineStr">
        <is>
          <t>Fórmula o Criterio Técnico</t>
        </is>
      </c>
    </row>
    <row r="2">
      <c r="A2" s="2" t="inlineStr">
        <is>
          <t>Concentración de Cu en PLS (g/L)</t>
        </is>
      </c>
      <c r="B2" s="3" t="n">
        <v>4.5</v>
      </c>
      <c r="C2" s="2" t="inlineStr">
        <is>
          <t>Analizador continuo PLS</t>
        </is>
      </c>
    </row>
    <row r="3">
      <c r="A3" s="2" t="inlineStr">
        <is>
          <t>Caudal de PLS (m³/h)</t>
        </is>
      </c>
      <c r="B3" s="3" t="n">
        <v>1200</v>
      </c>
      <c r="C3" s="2" t="inlineStr">
        <is>
          <t>Caudalómetro principal</t>
        </is>
      </c>
    </row>
    <row r="4">
      <c r="A4" s="2" t="inlineStr">
        <is>
          <t>Etapas de Extracción (E)</t>
        </is>
      </c>
      <c r="B4" s="3" t="n">
        <v>2</v>
      </c>
      <c r="C4" s="2" t="inlineStr">
        <is>
          <t>Configuración tren mixer-settler</t>
        </is>
      </c>
    </row>
    <row r="5">
      <c r="A5" s="2" t="inlineStr">
        <is>
          <t>Etapas de Reextracción (S)</t>
        </is>
      </c>
      <c r="B5" s="3" t="n">
        <v>2</v>
      </c>
      <c r="C5" s="2" t="inlineStr">
        <is>
          <t>Configuración reextracción</t>
        </is>
      </c>
    </row>
    <row r="6">
      <c r="A6" s="2" t="inlineStr">
        <is>
          <t>Relación Orgánico / Acuoso (O/A)</t>
        </is>
      </c>
      <c r="B6" s="3" t="n">
        <v>1.2</v>
      </c>
      <c r="C6" s="2" t="inlineStr">
        <is>
          <t>Control de flujos orgánicos</t>
        </is>
      </c>
    </row>
    <row r="7">
      <c r="A7" s="2" t="inlineStr">
        <is>
          <t>Concentración de Reactivo / Oxima (%)</t>
        </is>
      </c>
      <c r="B7" s="3" t="n">
        <v>14</v>
      </c>
      <c r="C7" s="2" t="inlineStr">
        <is>
          <t>Inventario extractivo</t>
        </is>
      </c>
    </row>
    <row r="8">
      <c r="A8" s="2" t="inlineStr">
        <is>
          <t>Eficiencia Global Extractiva (%)</t>
        </is>
      </c>
      <c r="B8" s="3">
        <f>85+(B4*4.5)-(B6*1.5)</f>
        <v/>
      </c>
      <c r="C8" s="2" t="inlineStr">
        <is>
          <t>Fórmula extractiva</t>
        </is>
      </c>
    </row>
    <row r="9">
      <c r="A9" s="2" t="inlineStr">
        <is>
          <t>Cobre en Raffinate (g/L)</t>
        </is>
      </c>
      <c r="B9" s="3">
        <f>B2*(1-(B8/100))</f>
        <v/>
      </c>
      <c r="C9" s="2" t="inlineStr">
        <is>
          <t>Fórmula: =PLS * (1 - Eficiencia/100)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34" customWidth="1" min="2" max="2"/>
    <col width="48" customWidth="1" min="3" max="3"/>
  </cols>
  <sheetData>
    <row r="1" ht="25" customHeight="1">
      <c r="A1" s="1" t="inlineStr">
        <is>
          <t>Variable Operacional</t>
        </is>
      </c>
      <c r="B1" s="1" t="inlineStr">
        <is>
          <t>Valor / Resultado</t>
        </is>
      </c>
      <c r="C1" s="1" t="inlineStr">
        <is>
          <t>Fórmula o Criterio Técnico</t>
        </is>
      </c>
    </row>
    <row r="2">
      <c r="A2" s="2" t="inlineStr">
        <is>
          <t>Intensidad de Corriente Total (kA)</t>
        </is>
      </c>
      <c r="B2" s="3" t="n">
        <v>32.5</v>
      </c>
      <c r="C2" s="2" t="inlineStr">
        <is>
          <t>Rectificador principal celdas</t>
        </is>
      </c>
    </row>
    <row r="3">
      <c r="A3" s="2" t="inlineStr">
        <is>
          <t>Número de Celdas en Operación</t>
        </is>
      </c>
      <c r="B3" s="3" t="n">
        <v>72</v>
      </c>
      <c r="C3" s="2" t="inlineStr">
        <is>
          <t>Nave de electroobtención</t>
        </is>
      </c>
    </row>
    <row r="4">
      <c r="A4" s="2" t="inlineStr">
        <is>
          <t>Eficiencia de Corriente (%)</t>
        </is>
      </c>
      <c r="B4" s="3" t="n">
        <v>92.5</v>
      </c>
      <c r="C4" s="2" t="inlineStr">
        <is>
          <t>Control electroquímico</t>
        </is>
      </c>
    </row>
    <row r="5">
      <c r="A5" s="2" t="inlineStr">
        <is>
          <t>Voltaje Promedio por Celda (V)</t>
        </is>
      </c>
      <c r="B5" s="3" t="n">
        <v>2.05</v>
      </c>
      <c r="C5" s="2" t="inlineStr">
        <is>
          <t>Monitoreo barras conductoras</t>
        </is>
      </c>
    </row>
    <row r="6">
      <c r="A6" s="2" t="inlineStr">
        <is>
          <t>Cu en Electrolito Avanzado (g/L)</t>
        </is>
      </c>
      <c r="B6" s="3" t="n">
        <v>45</v>
      </c>
      <c r="C6" s="2" t="inlineStr">
        <is>
          <t>Alimentación a celdas</t>
        </is>
      </c>
    </row>
    <row r="7">
      <c r="A7" s="2" t="inlineStr">
        <is>
          <t>Consumo Específico de Energía (kWh/t)</t>
        </is>
      </c>
      <c r="B7" s="3" t="n">
        <v>2150.4</v>
      </c>
      <c r="C7" s="2" t="inlineStr">
        <is>
          <t>Eficiencia energética celdas</t>
        </is>
      </c>
    </row>
    <row r="8">
      <c r="A8" s="2" t="inlineStr">
        <is>
          <t>Producción Diaria TPD (ton/día)</t>
        </is>
      </c>
      <c r="B8" s="3">
        <f>(B2*B3*24*(B4/100)*2.35)/1000</f>
        <v/>
      </c>
      <c r="C8" s="2" t="inlineStr">
        <is>
          <t>Fórmula Ley de Faraday optimizada industrial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32" customWidth="1" min="3" max="3"/>
  </cols>
  <sheetData>
    <row r="1" ht="25" customHeight="1">
      <c r="A1" s="1" t="inlineStr">
        <is>
          <t>Variable Operacional</t>
        </is>
      </c>
      <c r="B1" s="1" t="inlineStr">
        <is>
          <t>Valor / Resultado</t>
        </is>
      </c>
      <c r="C1" s="1" t="inlineStr">
        <is>
          <t>Fórmula o Criterio Técnico</t>
        </is>
      </c>
    </row>
    <row r="2">
      <c r="A2" s="2" t="inlineStr">
        <is>
          <t>Flujo Sólidos Secos (TPH)</t>
        </is>
      </c>
      <c r="B2" s="3">
        <f>'00_Entradas'!B5</f>
        <v/>
      </c>
      <c r="C2" s="2" t="inlineStr">
        <is>
          <t>Vinculado a '00_Entradas'!B5</t>
        </is>
      </c>
    </row>
    <row r="3">
      <c r="A3" s="2" t="inlineStr">
        <is>
          <t>Gravedad Específica del Sólido (SG)</t>
        </is>
      </c>
      <c r="B3" s="3" t="n">
        <v>2.75</v>
      </c>
      <c r="C3" s="2" t="inlineStr">
        <is>
          <t>Mineralogía de yacimiento</t>
        </is>
      </c>
    </row>
    <row r="4">
      <c r="A4" s="2" t="inlineStr">
        <is>
          <t>Porcentaje de Sólidos en Peso (%W)</t>
        </is>
      </c>
      <c r="B4" s="3" t="n">
        <v>65</v>
      </c>
      <c r="C4" s="2" t="inlineStr">
        <is>
          <t>Densímetro nuclear online</t>
        </is>
      </c>
    </row>
    <row r="5">
      <c r="A5" s="2" t="inlineStr">
        <is>
          <t>Temperatura de la Pulpa (°C)</t>
        </is>
      </c>
      <c r="B5" s="3" t="n">
        <v>20</v>
      </c>
      <c r="C5" s="2" t="inlineStr">
        <is>
          <t>Termopar en cajón</t>
        </is>
      </c>
    </row>
    <row r="6">
      <c r="A6" s="2" t="inlineStr">
        <is>
          <t>Viscosidad Aparente Estimada (cP)</t>
        </is>
      </c>
      <c r="B6" s="3" t="n">
        <v>12</v>
      </c>
      <c r="C6" s="2" t="inlineStr">
        <is>
          <t>Viscosímetro de proceso</t>
        </is>
      </c>
    </row>
    <row r="7">
      <c r="A7" s="2" t="inlineStr">
        <is>
          <t>Esfuerzo de Fluencia (Yield Stress, τ₀, Pa)</t>
        </is>
      </c>
      <c r="B7" s="3" t="n">
        <v>8.5</v>
      </c>
      <c r="C7" s="2" t="inlineStr">
        <is>
          <t>Parámetro reológico Bingham</t>
        </is>
      </c>
    </row>
    <row r="8">
      <c r="A8" s="2" t="inlineStr">
        <is>
          <t>Fracción de Sólidos en Volumen (%V)</t>
        </is>
      </c>
      <c r="B8" s="3" t="n">
        <v>40.3</v>
      </c>
      <c r="C8" s="2" t="inlineStr">
        <is>
          <t>Cálculo volumétrico fases</t>
        </is>
      </c>
    </row>
    <row r="9">
      <c r="A9" s="2" t="inlineStr">
        <is>
          <t>Caudal Volumétrico Total (m³/h)</t>
        </is>
      </c>
      <c r="B9" s="3">
        <f>B2 / (2.75 * (1 - (B4/100)) + (B4/100))</f>
        <v/>
      </c>
      <c r="C9" s="2" t="inlineStr">
        <is>
          <t>Fórmula caudal pulpa real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49" customWidth="1" min="3" max="3"/>
  </cols>
  <sheetData>
    <row r="1" ht="25" customHeight="1">
      <c r="A1" s="1" t="inlineStr">
        <is>
          <t>Variable Operacional</t>
        </is>
      </c>
      <c r="B1" s="1" t="inlineStr">
        <is>
          <t>Valor / Resultado</t>
        </is>
      </c>
      <c r="C1" s="1" t="inlineStr">
        <is>
          <t>Fórmula o Criterio Técnico</t>
        </is>
      </c>
    </row>
    <row r="2">
      <c r="A2" s="2" t="inlineStr">
        <is>
          <t>Alimentación Tratada (TPH)</t>
        </is>
      </c>
      <c r="B2" s="3">
        <f>'00_Entradas'!B5</f>
        <v/>
      </c>
      <c r="C2" s="2" t="inlineStr">
        <is>
          <t>Vinculado a '00_Entradas'!B5</t>
        </is>
      </c>
    </row>
    <row r="3">
      <c r="A3" s="2" t="inlineStr">
        <is>
          <t>Ley de Cabeza CuT (%)</t>
        </is>
      </c>
      <c r="B3" s="3">
        <f>'00_Entradas'!B6</f>
        <v/>
      </c>
      <c r="C3" s="2" t="inlineStr">
        <is>
          <t>Vinculado a '00_Entradas'!B6</t>
        </is>
      </c>
    </row>
    <row r="4">
      <c r="A4" s="2" t="inlineStr">
        <is>
          <t>Ley de Cabeza CuS (%)</t>
        </is>
      </c>
      <c r="B4" s="3" t="n">
        <v>0.78</v>
      </c>
      <c r="C4" s="2" t="inlineStr">
        <is>
          <t>Fracción soluble mineral</t>
        </is>
      </c>
    </row>
    <row r="5">
      <c r="A5" s="2" t="inlineStr">
        <is>
          <t>Ley de Ripio Agotado (%)</t>
        </is>
      </c>
      <c r="B5" s="3" t="n">
        <v>0.12</v>
      </c>
      <c r="C5" s="2" t="inlineStr">
        <is>
          <t>Laboratorio químico analítico</t>
        </is>
      </c>
    </row>
    <row r="6">
      <c r="A6" s="2" t="inlineStr">
        <is>
          <t>Cobre Contenido Fino (TPH)</t>
        </is>
      </c>
      <c r="B6" s="3">
        <f>B2*(B3/100)</f>
        <v/>
      </c>
      <c r="C6" s="2" t="inlineStr">
        <is>
          <t>Fórmula másica de entrada</t>
        </is>
      </c>
    </row>
    <row r="7">
      <c r="A7" s="2" t="inlineStr">
        <is>
          <t>Recuperación Metalúrgica (%)</t>
        </is>
      </c>
      <c r="B7" s="3">
        <f>((B3-B5)/B3)*100</f>
        <v/>
      </c>
      <c r="C7" s="2" t="inlineStr">
        <is>
          <t>Fórmula balance: =((Cabeza-Ripio)/Cabeza)*100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43" customWidth="1" min="3" max="3"/>
  </cols>
  <sheetData>
    <row r="1" ht="25" customHeight="1">
      <c r="A1" s="1" t="inlineStr">
        <is>
          <t>Variable Operacional</t>
        </is>
      </c>
      <c r="B1" s="1" t="inlineStr">
        <is>
          <t>Valor / Resultado</t>
        </is>
      </c>
      <c r="C1" s="1" t="inlineStr">
        <is>
          <t>Fórmula o Criterio Técnico</t>
        </is>
      </c>
    </row>
    <row r="2">
      <c r="A2" s="2" t="inlineStr">
        <is>
          <t>Precio del Cobre (USD/lb)</t>
        </is>
      </c>
      <c r="B2" s="3">
        <f>'00_Entradas'!B7</f>
        <v/>
      </c>
      <c r="C2" s="2" t="inlineStr">
        <is>
          <t>Vinculado a '00_Entradas'!B7</t>
        </is>
      </c>
    </row>
    <row r="3">
      <c r="A3" s="2" t="inlineStr">
        <is>
          <t>Costo Directo C1 (USD/lb)</t>
        </is>
      </c>
      <c r="B3" s="3">
        <f>'00_Entradas'!B8</f>
        <v/>
      </c>
      <c r="C3" s="2" t="inlineStr">
        <is>
          <t>Vinculado a '00_Entradas'!B8</t>
        </is>
      </c>
    </row>
    <row r="4">
      <c r="A4" s="2" t="inlineStr">
        <is>
          <t>Producción Diaria Estimada (ton/día)</t>
        </is>
      </c>
      <c r="B4" s="3" t="n">
        <v>120</v>
      </c>
      <c r="C4" s="2" t="inlineStr">
        <is>
          <t>Salida calculada Módulo EW</t>
        </is>
      </c>
    </row>
    <row r="5">
      <c r="A5" s="2" t="inlineStr">
        <is>
          <t>Margen Operacional Diario (kUSD/día)</t>
        </is>
      </c>
      <c r="B5" s="3">
        <f>B4 * 2204.62 * (B2 - B3) / 1000</f>
        <v/>
      </c>
      <c r="C5" s="2" t="inlineStr">
        <is>
          <t>Fórmula margen diario</t>
        </is>
      </c>
    </row>
    <row r="6">
      <c r="A6" s="2" t="inlineStr">
        <is>
          <t>Costo de Oportunidad Anual (MUSD)</t>
        </is>
      </c>
      <c r="B6" s="3" t="n">
        <v>157</v>
      </c>
      <c r="C6" s="2" t="inlineStr">
        <is>
          <t>Pérdida estimada por cuellos de botella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2026-10-15T04:17:25Z</dcterms:created>
  <dcterms:modified xsi:type="dcterms:W3CDTF">2026-10-15T04:17:25Z</dcterms:modified>
</cp:coreProperties>
</file>