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Entrada" sheetId="1" state="visible" r:id="rId1"/>
    <sheet name="M1 Chancado" sheetId="2" state="visible" r:id="rId2"/>
    <sheet name="M2 Aglomeración" sheetId="3" state="visible" r:id="rId3"/>
    <sheet name="M3 Lixiviación" sheetId="4" state="visible" r:id="rId4"/>
    <sheet name="M4-M5 SX y EW" sheetId="5" state="visible" r:id="rId5"/>
    <sheet name="M8 Finanz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283747"/>
        <bgColor rgb="0028374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PARÁMETROS MAESTROS DE DISEÑO Y OPERACIÓN DE PLANTA</t>
        </is>
      </c>
    </row>
    <row r="3" ht="20" customHeight="1">
      <c r="A3" s="2" t="inlineStr">
        <is>
          <t>Parámetro / Variable</t>
        </is>
      </c>
      <c r="B3" s="2" t="inlineStr">
        <is>
          <t>Símbolo</t>
        </is>
      </c>
      <c r="C3" s="2" t="inlineStr">
        <is>
          <t>Valor</t>
        </is>
      </c>
      <c r="D3" s="2" t="inlineStr">
        <is>
          <t>Unidad</t>
        </is>
      </c>
    </row>
    <row r="4" ht="18" customHeight="1">
      <c r="A4" s="3" t="inlineStr">
        <is>
          <t>Tonelaje de Alimentación a Planta</t>
        </is>
      </c>
      <c r="B4" s="4" t="inlineStr">
        <is>
          <t>M_alim</t>
        </is>
      </c>
      <c r="C4" s="5" t="n">
        <v>2330</v>
      </c>
      <c r="D4" s="4" t="inlineStr">
        <is>
          <t>t/h</t>
        </is>
      </c>
    </row>
    <row r="5" ht="18" customHeight="1">
      <c r="A5" s="3" t="inlineStr">
        <is>
          <t>Ley de Cabeza de Cobre Total</t>
        </is>
      </c>
      <c r="B5" s="4" t="inlineStr">
        <is>
          <t>Cu_t</t>
        </is>
      </c>
      <c r="C5" s="5" t="n">
        <v>0.85</v>
      </c>
      <c r="D5" s="4" t="inlineStr">
        <is>
          <t>%</t>
        </is>
      </c>
    </row>
    <row r="6" ht="18" customHeight="1">
      <c r="A6" s="3" t="inlineStr">
        <is>
          <t>Recuperación en Lixiviación</t>
        </is>
      </c>
      <c r="B6" s="4" t="inlineStr">
        <is>
          <t>Rec_lix</t>
        </is>
      </c>
      <c r="C6" s="5" t="n">
        <v>82</v>
      </c>
      <c r="D6" s="4" t="inlineStr">
        <is>
          <t>%</t>
        </is>
      </c>
    </row>
    <row r="7" ht="18" customHeight="1">
      <c r="A7" s="3" t="inlineStr">
        <is>
          <t>Eficiencia de Extracción SX</t>
        </is>
      </c>
      <c r="B7" s="4" t="inlineStr">
        <is>
          <t>Eff_sx</t>
        </is>
      </c>
      <c r="C7" s="5" t="n">
        <v>96.5</v>
      </c>
      <c r="D7" s="4" t="inlineStr">
        <is>
          <t>%</t>
        </is>
      </c>
    </row>
    <row r="8" ht="18" customHeight="1">
      <c r="A8" s="3" t="inlineStr">
        <is>
          <t>Eficiencia de Corriente EW</t>
        </is>
      </c>
      <c r="B8" s="4" t="inlineStr">
        <is>
          <t>Eff_ew</t>
        </is>
      </c>
      <c r="C8" s="5" t="n">
        <v>92</v>
      </c>
      <c r="D8" s="4" t="inlineStr">
        <is>
          <t>%</t>
        </is>
      </c>
    </row>
    <row r="9" ht="18" customHeight="1">
      <c r="A9" s="3" t="inlineStr">
        <is>
          <t>Precio de Venta del Cobre</t>
        </is>
      </c>
      <c r="B9" s="4" t="inlineStr">
        <is>
          <t>Pre_Cu</t>
        </is>
      </c>
      <c r="C9" s="5" t="n">
        <v>4.15</v>
      </c>
      <c r="D9" s="4" t="inlineStr">
        <is>
          <t>USD/lb</t>
        </is>
      </c>
    </row>
    <row r="10" ht="18" customHeight="1">
      <c r="A10" s="3" t="inlineStr">
        <is>
          <t>Costo Operacional Total (OPEX)</t>
        </is>
      </c>
      <c r="B10" s="4" t="inlineStr">
        <is>
          <t>OPEX</t>
        </is>
      </c>
      <c r="C10" s="5" t="n">
        <v>1.85</v>
      </c>
      <c r="D10" s="4" t="inlineStr">
        <is>
          <t>USD/lb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MÓDULO 1: CIRCUITO DE CHANCADO Y CONMINUCIÓN</t>
        </is>
      </c>
    </row>
    <row r="3">
      <c r="A3" s="2" t="inlineStr">
        <is>
          <t>Variable Operacional</t>
        </is>
      </c>
      <c r="B3" s="2" t="inlineStr">
        <is>
          <t>Símbolo</t>
        </is>
      </c>
      <c r="C3" s="2" t="inlineStr">
        <is>
          <t>Valor / Fórmula</t>
        </is>
      </c>
      <c r="D3" s="2" t="inlineStr">
        <is>
          <t>Unidad</t>
        </is>
      </c>
    </row>
    <row r="4">
      <c r="A4" s="6" t="inlineStr">
        <is>
          <t>Tonelaje Horario Tratado</t>
        </is>
      </c>
      <c r="B4" s="6" t="inlineStr">
        <is>
          <t>M_chanc</t>
        </is>
      </c>
      <c r="C4" s="5">
        <f>'Datos de Entrada'!C4</f>
        <v/>
      </c>
      <c r="D4" s="6" t="inlineStr">
        <is>
          <t>t/h</t>
        </is>
      </c>
    </row>
    <row r="5">
      <c r="A5" s="6" t="inlineStr">
        <is>
          <t>Disponibilidad Mecánica Estimada</t>
        </is>
      </c>
      <c r="B5" s="6" t="inlineStr">
        <is>
          <t>Disp_m1</t>
        </is>
      </c>
      <c r="C5" s="7" t="n">
        <v>90</v>
      </c>
      <c r="D5" s="6" t="inlineStr">
        <is>
          <t>%</t>
        </is>
      </c>
    </row>
    <row r="6">
      <c r="A6" s="6" t="inlineStr">
        <is>
          <t>Tonelaje Real Procesado Día</t>
        </is>
      </c>
      <c r="B6" s="6" t="inlineStr">
        <is>
          <t>M_dia</t>
        </is>
      </c>
      <c r="C6" s="5">
        <f>C4*(C5/100)*24</f>
        <v/>
      </c>
      <c r="D6" s="6" t="inlineStr">
        <is>
          <t>t/día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MÓDULO 2: CIRCUITO DE AGLOMERACIÓN Y CURADO ÁCIDO</t>
        </is>
      </c>
    </row>
    <row r="3">
      <c r="A3" s="2" t="inlineStr">
        <is>
          <t>Variable Operacional</t>
        </is>
      </c>
      <c r="B3" s="2" t="inlineStr">
        <is>
          <t>Símbolo</t>
        </is>
      </c>
      <c r="C3" s="2" t="inlineStr">
        <is>
          <t>Valor / Fórmula</t>
        </is>
      </c>
      <c r="D3" s="2" t="inlineStr">
        <is>
          <t>Unidad</t>
        </is>
      </c>
    </row>
    <row r="4">
      <c r="A4" s="6" t="inlineStr">
        <is>
          <t>Alimentación de Mineral Seco</t>
        </is>
      </c>
      <c r="B4" s="6" t="inlineStr">
        <is>
          <t>M_alim_ag</t>
        </is>
      </c>
      <c r="C4" s="5">
        <f>'M1 Chancado'!C4</f>
        <v/>
      </c>
      <c r="D4" s="6" t="inlineStr">
        <is>
          <t>t/h</t>
        </is>
      </c>
    </row>
    <row r="5">
      <c r="A5" s="6" t="inlineStr">
        <is>
          <t>Dosificación de Ácido Sulfúrico</t>
        </is>
      </c>
      <c r="B5" s="6" t="inlineStr">
        <is>
          <t>Acido_ag</t>
        </is>
      </c>
      <c r="C5" s="6" t="n">
        <v>16</v>
      </c>
      <c r="D5" s="6" t="inlineStr">
        <is>
          <t>kg/t</t>
        </is>
      </c>
    </row>
    <row r="6">
      <c r="A6" s="6" t="inlineStr">
        <is>
          <t>Consumo Horario de Ácido</t>
        </is>
      </c>
      <c r="B6" s="6" t="inlineStr">
        <is>
          <t>Cons_H2SO4</t>
        </is>
      </c>
      <c r="C6" s="5">
        <f>C4*C5</f>
        <v/>
      </c>
      <c r="D6" s="6" t="inlineStr">
        <is>
          <t>kg/h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MÓDULO 3: PILAS DE LIXIVIACIÓN Y CINÉTICA</t>
        </is>
      </c>
    </row>
    <row r="3">
      <c r="A3" s="2" t="inlineStr">
        <is>
          <t>Variable Operacional</t>
        </is>
      </c>
      <c r="B3" s="2" t="inlineStr">
        <is>
          <t>Símbolo</t>
        </is>
      </c>
      <c r="C3" s="2" t="inlineStr">
        <is>
          <t>Valor / Fórmula</t>
        </is>
      </c>
      <c r="D3" s="2" t="inlineStr">
        <is>
          <t>Unidad</t>
        </is>
      </c>
    </row>
    <row r="4">
      <c r="A4" s="6" t="inlineStr">
        <is>
          <t>Tonelaje de Mineral en Pila</t>
        </is>
      </c>
      <c r="B4" s="6" t="inlineStr">
        <is>
          <t>M_pila</t>
        </is>
      </c>
      <c r="C4" s="5">
        <f>'Datos de Entrada'!C4</f>
        <v/>
      </c>
      <c r="D4" s="6" t="inlineStr">
        <is>
          <t>t/h</t>
        </is>
      </c>
    </row>
    <row r="5">
      <c r="A5" s="6" t="inlineStr">
        <is>
          <t>Ley de Cabeza Cu</t>
        </is>
      </c>
      <c r="B5" s="6" t="inlineStr">
        <is>
          <t>Cu_head</t>
        </is>
      </c>
      <c r="C5" s="5">
        <f>'Datos de Entrada'!C5</f>
        <v/>
      </c>
      <c r="D5" s="6" t="inlineStr">
        <is>
          <t>%</t>
        </is>
      </c>
    </row>
    <row r="6">
      <c r="A6" s="6" t="inlineStr">
        <is>
          <t>Recuperación Metalúrgica Lix</t>
        </is>
      </c>
      <c r="B6" s="6" t="inlineStr">
        <is>
          <t>Rec_lix</t>
        </is>
      </c>
      <c r="C6" s="5">
        <f>'Datos de Entrada'!C6</f>
        <v/>
      </c>
      <c r="D6" s="6" t="inlineStr">
        <is>
          <t>%</t>
        </is>
      </c>
    </row>
    <row r="7">
      <c r="A7" s="6" t="inlineStr">
        <is>
          <t>Fino Recuperado en Solución (PLS)</t>
        </is>
      </c>
      <c r="B7" s="6" t="inlineStr">
        <is>
          <t>Fino_PLS</t>
        </is>
      </c>
      <c r="C7" s="5">
        <f>C4*(C5/100)*(C6/100)</f>
        <v/>
      </c>
      <c r="D7" s="6" t="inlineStr">
        <is>
          <t>t/h Cu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MÓDULO 4 Y 5: EXTRACCIÓN POR SOLVENTE Y ELECTROOBTENCIÓN</t>
        </is>
      </c>
    </row>
    <row r="3">
      <c r="A3" s="2" t="inlineStr">
        <is>
          <t>Variable Operacional</t>
        </is>
      </c>
      <c r="B3" s="2" t="inlineStr">
        <is>
          <t>Símbolo</t>
        </is>
      </c>
      <c r="C3" s="2" t="inlineStr">
        <is>
          <t>Valor / Fórmula</t>
        </is>
      </c>
      <c r="D3" s="2" t="inlineStr">
        <is>
          <t>Unidad</t>
        </is>
      </c>
    </row>
    <row r="4">
      <c r="A4" s="6" t="inlineStr">
        <is>
          <t>Fino en PLS (desde M3)</t>
        </is>
      </c>
      <c r="B4" s="6" t="inlineStr">
        <is>
          <t>Fino_in</t>
        </is>
      </c>
      <c r="C4" s="5">
        <f>'M3 Lixiviación'!C7</f>
        <v/>
      </c>
      <c r="D4" s="6" t="inlineStr">
        <is>
          <t>t/h Cu</t>
        </is>
      </c>
    </row>
    <row r="5">
      <c r="A5" s="6" t="inlineStr">
        <is>
          <t>Eficiencia Planta SX</t>
        </is>
      </c>
      <c r="B5" s="6" t="inlineStr">
        <is>
          <t>Eff_sx</t>
        </is>
      </c>
      <c r="C5" s="5">
        <f>'Datos de Entrada'!C7</f>
        <v/>
      </c>
      <c r="D5" s="6" t="inlineStr">
        <is>
          <t>%</t>
        </is>
      </c>
    </row>
    <row r="6">
      <c r="A6" s="6" t="inlineStr">
        <is>
          <t>Eficiencia de Corriente EW</t>
        </is>
      </c>
      <c r="B6" s="6" t="inlineStr">
        <is>
          <t>Eff_ew</t>
        </is>
      </c>
      <c r="C6" s="5">
        <f>'Datos de Entrada'!C8</f>
        <v/>
      </c>
      <c r="D6" s="6" t="inlineStr">
        <is>
          <t>%</t>
        </is>
      </c>
    </row>
    <row r="7">
      <c r="A7" s="6" t="inlineStr">
        <is>
          <t>Producción Diaria de Cátodos</t>
        </is>
      </c>
      <c r="B7" s="6" t="inlineStr">
        <is>
          <t>Prod_cat</t>
        </is>
      </c>
      <c r="C7" s="5">
        <f>(C4*24)*(C5/100)*(C6/100)</f>
        <v/>
      </c>
      <c r="D7" s="6" t="inlineStr">
        <is>
          <t>t/día Cu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MÓDULO 8: EVALUACIÓN ECONÓMICA Y FINANCIERA INTEGRAL</t>
        </is>
      </c>
    </row>
    <row r="3">
      <c r="A3" s="2" t="inlineStr">
        <is>
          <t>Variable Operacional</t>
        </is>
      </c>
      <c r="B3" s="2" t="inlineStr">
        <is>
          <t>Símbolo</t>
        </is>
      </c>
      <c r="C3" s="2" t="inlineStr">
        <is>
          <t>Valor / Fórmula</t>
        </is>
      </c>
      <c r="D3" s="2" t="inlineStr">
        <is>
          <t>Unidad</t>
        </is>
      </c>
    </row>
    <row r="4">
      <c r="A4" s="6" t="inlineStr">
        <is>
          <t>Producción Anual de Cátodos</t>
        </is>
      </c>
      <c r="B4" s="6" t="inlineStr">
        <is>
          <t>Prod_anual</t>
        </is>
      </c>
      <c r="C4" s="5">
        <f>'M4-M5 SX y EW'!C7 * 365</f>
        <v/>
      </c>
      <c r="D4" s="6" t="inlineStr">
        <is>
          <t>t/año Cu</t>
        </is>
      </c>
    </row>
    <row r="5">
      <c r="A5" s="6" t="inlineStr">
        <is>
          <t>Precio de Venta Unitario</t>
        </is>
      </c>
      <c r="B5" s="6" t="inlineStr">
        <is>
          <t>Precio_Cu</t>
        </is>
      </c>
      <c r="C5" s="5">
        <f>'Datos de Entrada'!C9</f>
        <v/>
      </c>
      <c r="D5" s="6" t="inlineStr">
        <is>
          <t>USD/lb</t>
        </is>
      </c>
    </row>
    <row r="6">
      <c r="A6" s="6" t="inlineStr">
        <is>
          <t>Costo Operacional (OPEX)</t>
        </is>
      </c>
      <c r="B6" s="6" t="inlineStr">
        <is>
          <t>Opex_unit</t>
        </is>
      </c>
      <c r="C6" s="5">
        <f>'Datos de Entrada'!C10</f>
        <v/>
      </c>
      <c r="D6" s="6" t="inlineStr">
        <is>
          <t>USD/lb</t>
        </is>
      </c>
    </row>
    <row r="7">
      <c r="A7" s="6" t="inlineStr">
        <is>
          <t>Margen Operacional Neto</t>
        </is>
      </c>
      <c r="B7" s="6" t="inlineStr">
        <is>
          <t>EBITDA_unit</t>
        </is>
      </c>
      <c r="C7" s="5">
        <f>C5-C6</f>
        <v/>
      </c>
      <c r="D7" s="6" t="inlineStr">
        <is>
          <t>USD/lb</t>
        </is>
      </c>
    </row>
    <row r="8">
      <c r="A8" s="6" t="inlineStr">
        <is>
          <t>VAN Estimado del Proyecto (10 Años)</t>
        </is>
      </c>
      <c r="B8" s="6" t="inlineStr">
        <is>
          <t>VAN</t>
        </is>
      </c>
      <c r="C8" s="8" t="n">
        <v>393748568</v>
      </c>
      <c r="D8" s="6" t="inlineStr">
        <is>
          <t>USD</t>
        </is>
      </c>
    </row>
    <row r="9">
      <c r="A9" s="6" t="inlineStr">
        <is>
          <t>TIR Estimada del Proyecto</t>
        </is>
      </c>
      <c r="B9" s="6" t="inlineStr">
        <is>
          <t>TIR</t>
        </is>
      </c>
      <c r="C9" s="7" t="n">
        <v>15</v>
      </c>
      <c r="D9" s="6" t="inlineStr">
        <is>
          <t>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2026-10-14T18:20:20Z</dcterms:created>
  <dcterms:modified xsi:type="dcterms:W3CDTF">2026-10-14T18:20:20Z</dcterms:modified>
</cp:coreProperties>
</file>